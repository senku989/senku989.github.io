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-105" yWindow="-108" windowWidth="19416" windowHeight="10413" activeTab="0" tabRatio="600"/>
  </bookViews>
  <sheets>
    <sheet name="Sheet1" sheetId="1" r:id="rId2"/>
  </sheets>
  <calcPr calcId="191029"/>
</workbook>
</file>

<file path=xl/sharedStrings.xml><?xml version="1.0" encoding="utf-8"?>
<sst xmlns="http://schemas.openxmlformats.org/spreadsheetml/2006/main" count="75" uniqueCount="47">
  <si>
    <t>حملة بزنسك في جيبك 2025</t>
  </si>
  <si>
    <t xml:space="preserve">العنصر </t>
  </si>
  <si>
    <t>النوع/البند</t>
  </si>
  <si>
    <t xml:space="preserve">الهدف </t>
  </si>
  <si>
    <t xml:space="preserve">الفئة المستهدفة </t>
  </si>
  <si>
    <t>العدد</t>
  </si>
  <si>
    <t xml:space="preserve">التكلفة المباشرة $ </t>
  </si>
  <si>
    <t>التكلفة المباشرة سنويا $</t>
  </si>
  <si>
    <t xml:space="preserve">تصاميم </t>
  </si>
  <si>
    <t>محتوى نصي (مقالات)</t>
  </si>
  <si>
    <t xml:space="preserve">للتواجد في محركات البحث </t>
  </si>
  <si>
    <t xml:space="preserve"> B2C</t>
  </si>
  <si>
    <t>محتوى نصي (حكم ونصائح)</t>
  </si>
  <si>
    <t xml:space="preserve">تصاميم فوتو </t>
  </si>
  <si>
    <t xml:space="preserve">للانتشار في الواتس والسوشال ميديا </t>
  </si>
  <si>
    <t xml:space="preserve">تصاميم فيديو </t>
  </si>
  <si>
    <t>قيمي + اعلاني</t>
  </si>
  <si>
    <t>شركة استشارية</t>
  </si>
  <si>
    <t xml:space="preserve">اجور </t>
  </si>
  <si>
    <t>-</t>
  </si>
  <si>
    <t>تكاليف الاجتماعات</t>
  </si>
  <si>
    <t>تكاليف</t>
  </si>
  <si>
    <t>الفيس بوك</t>
  </si>
  <si>
    <t>حملة 1</t>
  </si>
  <si>
    <t xml:space="preserve">خلق تفاعل وتواصل فقط (قيمي) </t>
  </si>
  <si>
    <t>B2C</t>
  </si>
  <si>
    <t>حملة 2</t>
  </si>
  <si>
    <t>حملة 3</t>
  </si>
  <si>
    <t>تشجيع المبيعات (إعلاني)</t>
  </si>
  <si>
    <t>حملة 4</t>
  </si>
  <si>
    <t>حملة 5</t>
  </si>
  <si>
    <t>تويتر</t>
  </si>
  <si>
    <t>تنشيط الصفحة في الخليج (قيمي)</t>
  </si>
  <si>
    <t>الاعلان عن منتجاتنا (اعلاني)</t>
  </si>
  <si>
    <t>انستجرام</t>
  </si>
  <si>
    <t xml:space="preserve">حملة 3 </t>
  </si>
  <si>
    <t>نجوم سناب شات</t>
  </si>
  <si>
    <t>حملة مع النجم 1</t>
  </si>
  <si>
    <t>الوصول لجمهور الترفيه</t>
  </si>
  <si>
    <t>حملة مع النجم 2</t>
  </si>
  <si>
    <t>الوصول لجمهور نسائي</t>
  </si>
  <si>
    <t>حملة مع النجم 3</t>
  </si>
  <si>
    <t>الاعلان عن متجرنا الالكتروني</t>
  </si>
  <si>
    <t>جوجل ادز ووردز</t>
  </si>
  <si>
    <t>حملة طوال العام/12 شهر</t>
  </si>
  <si>
    <t>استهداف الباحثين عن كلمات مفتاحية</t>
  </si>
  <si>
    <t xml:space="preserve">المجموع الكلي للتكلفة التقديرية لحملة التسويق الالكتروني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</si>
</sst>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4" x14ac:knownFonts="24">
    <font>
      <sz val="11.0"/>
      <name val="Calibri"/>
      <family val="1"/>
    </font>
    <font>
      <sz val="11.0"/>
      <name val="Calibri"/>
      <family val="1"/>
    </font>
    <font>
      <sz val="11.0"/>
      <color rgb="FFC00000"/>
      <name val="Calibri"/>
      <family val="1"/>
      <b/>
    </font>
    <font>
      <sz val="11.0"/>
      <name val="Calibri"/>
      <family val="1"/>
      <b/>
    </font>
    <font>
      <sz val="11.0"/>
      <color rgb="FFC00000"/>
      <name val="Calibri"/>
      <family val="1"/>
      <b/>
    </font>
    <font>
      <sz val="11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9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8DB4E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2DBDA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71">
    <xf numFmtId="0" fontId="0" fillId="0" borderId="0" applyAlignment="1" xfId="0"/>
    <xf numFmtId="0" fontId="1" applyFont="1" fillId="0" borderId="0" applyAlignment="1" xfId="0"/>
    <xf numFmtId="0" fontId="1" applyFont="1" fillId="0" borderId="0" applyAlignment="1" xfId="0">
      <alignment horizontal="center"/>
    </xf>
    <xf numFmtId="0" fontId="0" fillId="0" borderId="0" applyAlignment="1" xfId="0">
      <alignment horizontal="center" vertical="center"/>
    </xf>
    <xf numFmtId="0" fontId="0" fillId="0" borderId="1" applyBorder="1" applyAlignment="1" xfId="0">
      <alignment horizontal="center"/>
    </xf>
    <xf numFmtId="0" fontId="0" fillId="0" borderId="2" applyBorder="1" applyAlignment="1" xfId="0"/>
    <xf numFmtId="0" fontId="0" fillId="2" applyFill="1" borderId="0" applyAlignment="1" xfId="0">
      <alignment horizontal="center" vertical="center"/>
    </xf>
    <xf numFmtId="0" fontId="0" fillId="2" applyFill="1" borderId="0" applyAlignment="1" xfId="0"/>
    <xf numFmtId="0" fontId="0" fillId="2" applyFill="1" borderId="0" applyAlignment="1" xfId="0">
      <alignment horizontal="center"/>
    </xf>
    <xf numFmtId="0" fontId="2" applyFont="1" fillId="3" applyFill="1" borderId="3" applyBorder="1" applyAlignment="1" xfId="0">
      <alignment horizontal="center"/>
    </xf>
    <xf numFmtId="0" fontId="2" applyFont="1" fillId="3" applyFill="1" borderId="4" applyBorder="1" applyAlignment="1" xfId="0">
      <alignment horizontal="center" vertical="center"/>
    </xf>
    <xf numFmtId="0" fontId="3" applyFont="1" fillId="4" applyFill="1" borderId="0" applyAlignment="1" xfId="0">
      <alignment horizontal="center"/>
    </xf>
    <xf numFmtId="0" fontId="3" applyFont="1" fillId="4" applyFill="1" borderId="0" applyAlignment="1" xfId="0">
      <alignment horizontal="center"/>
    </xf>
    <xf numFmtId="0" fontId="3" applyFont="1" fillId="5" applyFill="1" borderId="0" applyAlignment="1" xfId="0">
      <alignment horizontal="center"/>
    </xf>
    <xf numFmtId="0" fontId="1" applyFont="1" fillId="3" applyFill="1" borderId="0" applyAlignment="1" xfId="0">
      <alignment horizontal="center" vertical="center"/>
    </xf>
    <xf numFmtId="0" fontId="4" applyFont="1" fillId="6" applyFill="1" borderId="0" applyAlignment="1" xfId="0">
      <alignment horizontal="center" vertical="center"/>
    </xf>
    <xf numFmtId="0" fontId="5" applyFont="1" fillId="7" applyFill="1" borderId="5" applyBorder="1" applyAlignment="1" xfId="0">
      <alignment horizontal="center"/>
    </xf>
    <xf numFmtId="0" fontId="1" applyFont="1" fillId="0" borderId="0" applyAlignment="1" xfId="0"/>
    <xf numFmtId="0" fontId="1" applyFont="1" fillId="0" borderId="0" applyAlignment="1" xfId="0"/>
    <xf numFmtId="0" fontId="2" applyFont="1" fillId="3" applyFill="1" borderId="6" applyBorder="1" applyAlignment="1" xfId="0">
      <alignment horizontal="center" vertical="center"/>
    </xf>
    <xf numFmtId="0" fontId="0" fillId="3" applyFill="1" borderId="0" applyAlignment="1" xfId="0">
      <alignment horizontal="center" vertical="center"/>
    </xf>
    <xf numFmtId="0" fontId="2" applyFont="1" fillId="6" applyFill="1" borderId="0" applyAlignment="1" xfId="0">
      <alignment horizontal="center" vertical="center"/>
    </xf>
    <xf numFmtId="0" fontId="3" applyFont="1" fillId="7" applyFill="1" borderId="7" applyBorder="1" applyAlignment="1" xfId="0">
      <alignment horizontal="center"/>
    </xf>
    <xf numFmtId="0" fontId="6" applyFont="1" fillId="8" applyFill="1" borderId="0" applyAlignment="1" xfId="0"/>
    <xf numFmtId="0" fontId="7" applyFont="1" fillId="9" applyFill="1" borderId="0" applyAlignment="1" xfId="0"/>
    <xf numFmtId="0" fontId="8" applyFont="1" fillId="10" applyFill="1" borderId="0" applyAlignment="1" xfId="0"/>
    <xf numFmtId="0" fontId="9" applyFont="1" fillId="11" applyFill="1" borderId="8" applyBorder="1" applyAlignment="1" xfId="0"/>
    <xf numFmtId="0" fontId="10" applyFont="1" fillId="12" applyFill="1" borderId="9" applyBorder="1" applyAlignment="1" xfId="0"/>
    <xf numFmtId="0" fontId="11" applyFont="1" fillId="0" borderId="0" applyAlignment="1" xfId="0"/>
    <xf numFmtId="0" fontId="12" applyFont="1" fillId="0" borderId="0" applyAlignment="1" xfId="0"/>
    <xf numFmtId="0" fontId="13" applyFont="1" fillId="0" borderId="10" applyBorder="1" applyAlignment="1" xfId="0"/>
    <xf numFmtId="0" fontId="14" applyFont="1" fillId="11" applyFill="1" borderId="11" applyBorder="1" applyAlignment="1" xfId="0"/>
    <xf numFmtId="0" fontId="15" applyFont="1" fillId="13" applyFill="1" borderId="12" applyBorder="1" applyAlignment="1" xfId="0"/>
    <xf numFmtId="0" fontId="1" applyFont="1" fillId="14" applyFill="1" borderId="13" applyBorder="1" applyAlignment="1" xfId="0"/>
    <xf numFmtId="0" fontId="16" applyFont="1" fillId="0" borderId="0" applyAlignment="1" xfId="0"/>
    <xf numFmtId="0" fontId="17" applyFont="1" fillId="0" borderId="14" applyBorder="1" applyAlignment="1" xfId="0"/>
    <xf numFmtId="0" fontId="18" applyFont="1" fillId="0" borderId="15" applyBorder="1" applyAlignment="1" xfId="0"/>
    <xf numFmtId="0" fontId="19" applyFont="1" fillId="0" borderId="16" applyBorder="1" applyAlignment="1" xfId="0"/>
    <xf numFmtId="0" fontId="19" applyFont="1" fillId="0" borderId="0" applyAlignment="1" xfId="0"/>
    <xf numFmtId="0" fontId="20" applyFont="1" fillId="0" borderId="17" applyBorder="1" applyAlignment="1" xfId="0"/>
    <xf numFmtId="0" fontId="21" applyFont="1" fillId="15" applyFill="1" borderId="0" applyAlignment="1" xfId="0"/>
    <xf numFmtId="0" fontId="21" applyFont="1" fillId="16" applyFill="1" borderId="0" applyAlignment="1" xfId="0"/>
    <xf numFmtId="0" fontId="21" applyFont="1" fillId="17" applyFill="1" borderId="0" applyAlignment="1" xfId="0"/>
    <xf numFmtId="0" fontId="21" applyFont="1" fillId="18" applyFill="1" borderId="0" applyAlignment="1" xfId="0"/>
    <xf numFmtId="0" fontId="21" applyFont="1" fillId="19" applyFill="1" borderId="0" applyAlignment="1" xfId="0"/>
    <xf numFmtId="0" fontId="21" applyFont="1" fillId="20" applyFill="1" borderId="0" applyAlignment="1" xfId="0"/>
    <xf numFmtId="0" fontId="21" applyFont="1" fillId="21" applyFill="1" borderId="0" applyAlignment="1" xfId="0"/>
    <xf numFmtId="0" fontId="21" applyFont="1" fillId="22" applyFill="1" borderId="0" applyAlignment="1" xfId="0"/>
    <xf numFmtId="0" fontId="21" applyFont="1" fillId="23" applyFill="1" borderId="0" applyAlignment="1" xfId="0"/>
    <xf numFmtId="0" fontId="21" applyFont="1" fillId="24" applyFill="1" borderId="0" applyAlignment="1" xfId="0"/>
    <xf numFmtId="0" fontId="21" applyFont="1" fillId="25" applyFill="1" borderId="0" applyAlignment="1" xfId="0"/>
    <xf numFmtId="0" fontId="21" applyFont="1" fillId="26" applyFill="1" borderId="0" applyAlignment="1" xfId="0"/>
    <xf numFmtId="0" fontId="22" applyFont="1" fillId="27" applyFill="1" borderId="0" applyAlignment="1" xfId="0"/>
    <xf numFmtId="0" fontId="22" applyFont="1" fillId="28" applyFill="1" borderId="0" applyAlignment="1" xfId="0"/>
    <xf numFmtId="0" fontId="22" applyFont="1" fillId="29" applyFill="1" borderId="0" applyAlignment="1" xfId="0"/>
    <xf numFmtId="0" fontId="22" applyFont="1" fillId="30" applyFill="1" borderId="0" applyAlignment="1" xfId="0"/>
    <xf numFmtId="0" fontId="22" applyFont="1" fillId="31" applyFill="1" borderId="0" applyAlignment="1" xfId="0"/>
    <xf numFmtId="0" fontId="22" applyFont="1" fillId="32" applyFill="1" borderId="0" applyAlignment="1" xfId="0"/>
    <xf numFmtId="0" fontId="22" applyFont="1" fillId="33" applyFill="1" borderId="0" applyAlignment="1" xfId="0"/>
    <xf numFmtId="0" fontId="22" applyFont="1" fillId="34" applyFill="1" borderId="0" applyAlignment="1" xfId="0"/>
    <xf numFmtId="0" fontId="22" applyFont="1" fillId="35" applyFill="1" borderId="0" applyAlignment="1" xfId="0"/>
    <xf numFmtId="0" fontId="22" applyFont="1" fillId="36" applyFill="1" borderId="0" applyAlignment="1" xfId="0"/>
    <xf numFmtId="0" fontId="22" applyFont="1" fillId="37" applyFill="1" borderId="0" applyAlignment="1" xfId="0"/>
    <xf numFmtId="0" fontId="22" applyFont="1" fillId="38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G46"/>
  <sheetViews>
    <sheetView rightToLeft="1" tabSelected="1" zoomScale="59" zoomScaleNormal="59" topLeftCell="A1" workbookViewId="0">
      <selection activeCell="A1" activeCellId="0" sqref="A1:G2"/>
    </sheetView>
  </sheetViews>
  <sheetFormatPr defaultRowHeight="14.5" defaultColWidth="9.0" x14ac:dyDescent="0.15"/>
  <cols>
    <col min="1" max="1" width="21.25" customWidth="1"/>
    <col min="2" max="2" width="22.875" customWidth="1"/>
    <col min="3" max="3" width="30.25" customWidth="1"/>
    <col min="4" max="4" width="21.125" customWidth="1"/>
    <col min="5" max="5" width="16.5" customWidth="1" style="2"/>
    <col min="6" max="6" width="14.5" customWidth="1" style="2"/>
    <col min="7" max="7" width="18.125" customWidth="1" style="2"/>
  </cols>
  <sheetData>
    <row r="1" spans="1:7" customHeight="1" x14ac:dyDescent="0.15">
      <c r="A1" s="21" t="s">
        <v>0</v>
      </c>
      <c r="B1" s="21"/>
      <c r="C1" s="21"/>
      <c r="D1" s="21"/>
      <c r="E1" s="21"/>
      <c r="F1" s="21"/>
      <c r="G1" s="21"/>
    </row>
    <row r="2" spans="1:7" customHeight="1" x14ac:dyDescent="0.15">
      <c r="A2" s="21"/>
      <c r="B2" s="21"/>
      <c r="C2" s="21"/>
      <c r="D2" s="21"/>
      <c r="E2" s="21"/>
      <c r="F2" s="21"/>
      <c r="G2" s="21"/>
    </row>
    <row r="4" spans="1:4" ht="14.25" customHeight="1" x14ac:dyDescent="0.15">
      <c r="A4" s="1"/>
      <c r="B4" s="1"/>
      <c r="C4" s="1"/>
      <c r="D4" s="1"/>
    </row>
    <row r="5" spans="1:4" ht="1.5" customHeight="1" x14ac:dyDescent="0.15">
      <c r="A5" s="2"/>
      <c r="B5" s="2"/>
      <c r="C5" s="2"/>
      <c r="D5" s="2"/>
    </row>
    <row r="6" spans="1:7" customHeight="1" x14ac:dyDescent="0.15">
      <c r="A6" s="22"/>
      <c r="B6" s="22"/>
      <c r="C6" s="22"/>
      <c r="D6" s="22"/>
      <c r="E6" s="22"/>
      <c r="F6" s="22"/>
      <c r="G6" s="22"/>
    </row>
    <row r="7" spans="1:7" customHeight="1" x14ac:dyDescent="0.15">
      <c r="A7" s="9" t="s">
        <v>1</v>
      </c>
      <c r="B7" s="9" t="s">
        <v>2</v>
      </c>
      <c r="C7" s="9" t="s">
        <v>3</v>
      </c>
      <c r="D7" s="9" t="s">
        <v>4</v>
      </c>
      <c r="E7" s="9" t="s">
        <v>5</v>
      </c>
      <c r="F7" s="9" t="s">
        <v>6</v>
      </c>
      <c r="G7" s="9" t="s">
        <v>7</v>
      </c>
    </row>
    <row r="8" spans="1:7" customHeight="1" x14ac:dyDescent="0.15">
      <c r="A8" s="7"/>
      <c r="B8" s="7"/>
      <c r="C8" s="7"/>
      <c r="D8" s="7"/>
      <c r="E8" s="8"/>
      <c r="F8" s="8"/>
      <c r="G8" s="8"/>
    </row>
    <row r="9" spans="1:7" customHeight="1" x14ac:dyDescent="0.15">
      <c r="A9" s="19" t="s">
        <v>8</v>
      </c>
      <c r="B9" s="5" t="s">
        <v>9</v>
      </c>
      <c r="C9" s="5" t="s">
        <v>10</v>
      </c>
      <c r="D9" s="4" t="s">
        <v>11</v>
      </c>
      <c r="E9" s="4">
        <v>5.0</v>
      </c>
      <c r="F9" s="4">
        <v>70.0</v>
      </c>
      <c r="G9" s="4">
        <f>F9*E9</f>
        <v>350</v>
      </c>
    </row>
    <row r="10" spans="1:7" customHeight="1" x14ac:dyDescent="0.15">
      <c r="A10" s="19"/>
      <c r="B10" s="5" t="s">
        <v>12</v>
      </c>
      <c r="C10" s="5" t="s">
        <v>10</v>
      </c>
      <c r="D10" s="4" t="s">
        <v>11</v>
      </c>
      <c r="E10" s="4">
        <v>100.0</v>
      </c>
      <c r="F10" s="4">
        <v>3.0</v>
      </c>
      <c r="G10" s="4">
        <f>F10*E10</f>
        <v>300</v>
      </c>
    </row>
    <row r="11" spans="1:7" customHeight="1" x14ac:dyDescent="0.15">
      <c r="A11" s="19"/>
      <c r="B11" s="5" t="s">
        <v>13</v>
      </c>
      <c r="C11" s="5" t="s">
        <v>14</v>
      </c>
      <c r="D11" s="4" t="s">
        <v>11</v>
      </c>
      <c r="E11" s="4">
        <v>100.0</v>
      </c>
      <c r="F11" s="4">
        <v>20.0</v>
      </c>
      <c r="G11" s="4">
        <f>E11*F11</f>
        <v>2000</v>
      </c>
    </row>
    <row r="12" spans="1:7" customHeight="1" x14ac:dyDescent="0.15">
      <c r="A12" s="19"/>
      <c r="B12" s="5" t="s">
        <v>15</v>
      </c>
      <c r="C12" s="5" t="s">
        <v>16</v>
      </c>
      <c r="D12" s="4" t="s">
        <v>11</v>
      </c>
      <c r="E12" s="4">
        <v>3.0</v>
      </c>
      <c r="F12" s="4">
        <v>900.0</v>
      </c>
      <c r="G12" s="4">
        <f>F12*E12</f>
        <v>2700</v>
      </c>
    </row>
    <row r="13" spans="1:7" customHeight="1" x14ac:dyDescent="0.15">
      <c r="A13" s="19"/>
      <c r="B13" s="5" t="s">
        <v>17</v>
      </c>
      <c r="C13" s="5" t="s">
        <v>18</v>
      </c>
      <c r="D13" s="4" t="s">
        <v>19</v>
      </c>
      <c r="E13" s="4">
        <v>1.0</v>
      </c>
      <c r="F13" s="4">
        <v>1000.0</v>
      </c>
      <c r="G13" s="4">
        <f>F13*E13</f>
        <v>1000</v>
      </c>
    </row>
    <row r="14" spans="1:7" customHeight="1" x14ac:dyDescent="0.15">
      <c r="A14" s="19"/>
      <c r="B14" s="5" t="s">
        <v>20</v>
      </c>
      <c r="C14" s="5" t="s">
        <v>21</v>
      </c>
      <c r="D14" s="4" t="s">
        <v>19</v>
      </c>
      <c r="E14" s="4">
        <v>1.0</v>
      </c>
      <c r="F14" s="4">
        <v>300.0</v>
      </c>
      <c r="G14" s="4">
        <f>F14*E14</f>
        <v>300</v>
      </c>
    </row>
    <row r="15" spans="1:7" customHeight="1" x14ac:dyDescent="0.15">
      <c r="A15" s="6"/>
      <c r="B15" s="7"/>
      <c r="C15" s="7"/>
      <c r="D15" s="8"/>
      <c r="E15" s="8"/>
      <c r="F15" s="8"/>
      <c r="G15" s="11">
        <f>G9+G10+G12+G13+G14+G11</f>
        <v>6650</v>
      </c>
    </row>
    <row r="16" spans="1:7" customHeight="1" x14ac:dyDescent="0.15">
      <c r="A16" s="19" t="s">
        <v>22</v>
      </c>
      <c r="B16" s="5" t="s">
        <v>23</v>
      </c>
      <c r="C16" s="5" t="s">
        <v>24</v>
      </c>
      <c r="D16" s="4" t="s">
        <v>25</v>
      </c>
      <c r="E16" s="4">
        <v>1.0</v>
      </c>
      <c r="F16" s="4">
        <v>400.0</v>
      </c>
      <c r="G16" s="4">
        <f>F16*E16</f>
        <v>400</v>
      </c>
    </row>
    <row r="17" spans="1:7" customHeight="1" x14ac:dyDescent="0.15">
      <c r="A17" s="19"/>
      <c r="B17" s="5" t="s">
        <v>26</v>
      </c>
      <c r="C17" s="5" t="s">
        <v>24</v>
      </c>
      <c r="D17" s="4" t="s">
        <v>25</v>
      </c>
      <c r="E17" s="4">
        <v>1.0</v>
      </c>
      <c r="F17" s="4">
        <v>300.0</v>
      </c>
      <c r="G17" s="4">
        <f>F17*E17</f>
        <v>300</v>
      </c>
    </row>
    <row r="18" spans="1:7" customHeight="1" x14ac:dyDescent="0.15">
      <c r="A18" s="19"/>
      <c r="B18" s="5" t="s">
        <v>27</v>
      </c>
      <c r="C18" s="5" t="s">
        <v>28</v>
      </c>
      <c r="D18" s="4" t="s">
        <v>25</v>
      </c>
      <c r="E18" s="4">
        <v>1.0</v>
      </c>
      <c r="F18" s="4">
        <v>1000.0</v>
      </c>
      <c r="G18" s="4">
        <f>F18*E18</f>
        <v>1000</v>
      </c>
    </row>
    <row r="19" spans="1:7" customHeight="1" x14ac:dyDescent="0.15">
      <c r="A19" s="19"/>
      <c r="B19" s="5" t="s">
        <v>29</v>
      </c>
      <c r="C19" s="5" t="s">
        <v>24</v>
      </c>
      <c r="D19" s="4" t="s">
        <v>25</v>
      </c>
      <c r="E19" s="4">
        <v>1.0</v>
      </c>
      <c r="F19" s="4">
        <v>200.0</v>
      </c>
      <c r="G19" s="4">
        <f>F19*E19</f>
        <v>200</v>
      </c>
    </row>
    <row r="20" spans="1:7" customHeight="1" x14ac:dyDescent="0.15">
      <c r="A20" s="19"/>
      <c r="B20" s="5" t="s">
        <v>30</v>
      </c>
      <c r="C20" s="5" t="s">
        <v>28</v>
      </c>
      <c r="D20" s="4" t="s">
        <v>25</v>
      </c>
      <c r="E20" s="4">
        <v>1.0</v>
      </c>
      <c r="F20" s="4">
        <v>2000.0</v>
      </c>
      <c r="G20" s="4">
        <f>F20*E20</f>
        <v>2000</v>
      </c>
    </row>
    <row r="21" spans="1:7" customHeight="1" x14ac:dyDescent="0.15">
      <c r="A21" s="6"/>
      <c r="B21" s="7"/>
      <c r="C21" s="7"/>
      <c r="D21" s="8"/>
      <c r="E21" s="8"/>
      <c r="F21" s="8"/>
      <c r="G21" s="11">
        <f>G16+G17+G18+G19+G20</f>
        <v>3900</v>
      </c>
    </row>
    <row r="22" spans="1:7" customHeight="1" x14ac:dyDescent="0.15">
      <c r="A22" s="19" t="s">
        <v>31</v>
      </c>
      <c r="B22" s="5" t="s">
        <v>23</v>
      </c>
      <c r="C22" s="5" t="s">
        <v>32</v>
      </c>
      <c r="D22" s="4" t="s">
        <v>25</v>
      </c>
      <c r="E22" s="4">
        <v>100.0</v>
      </c>
      <c r="F22" s="4">
        <v>10.0</v>
      </c>
      <c r="G22" s="4">
        <f>F22*E22</f>
        <v>1000</v>
      </c>
    </row>
    <row r="23" spans="1:7" customHeight="1" x14ac:dyDescent="0.15">
      <c r="A23" s="19"/>
      <c r="B23" s="5" t="s">
        <v>26</v>
      </c>
      <c r="C23" s="5" t="s">
        <v>33</v>
      </c>
      <c r="D23" s="4" t="s">
        <v>25</v>
      </c>
      <c r="E23" s="4">
        <v>3.0</v>
      </c>
      <c r="F23" s="4">
        <v>400.0</v>
      </c>
      <c r="G23" s="4">
        <f>E23*F23</f>
        <v>1200</v>
      </c>
    </row>
    <row r="24" spans="1:7" customHeight="1" x14ac:dyDescent="0.15">
      <c r="A24" s="6"/>
      <c r="B24" s="7"/>
      <c r="C24" s="7"/>
      <c r="D24" s="8"/>
      <c r="E24" s="8"/>
      <c r="F24" s="8"/>
      <c r="G24" s="11">
        <f>G22+G23</f>
        <v>2200</v>
      </c>
    </row>
    <row r="25" spans="1:7" customHeight="1" x14ac:dyDescent="0.15">
      <c r="A25" s="19" t="s">
        <v>34</v>
      </c>
      <c r="B25" s="5" t="s">
        <v>23</v>
      </c>
      <c r="C25" s="5" t="s">
        <v>24</v>
      </c>
      <c r="D25" s="4" t="s">
        <v>25</v>
      </c>
      <c r="E25" s="4">
        <v>100.0</v>
      </c>
      <c r="F25" s="4">
        <v>10.0</v>
      </c>
      <c r="G25" s="4">
        <f>E25*F25</f>
        <v>1000</v>
      </c>
    </row>
    <row r="26" spans="1:7" customHeight="1" x14ac:dyDescent="0.15">
      <c r="A26" s="19"/>
      <c r="B26" s="5" t="s">
        <v>26</v>
      </c>
      <c r="C26" s="5" t="s">
        <v>32</v>
      </c>
      <c r="D26" s="4" t="s">
        <v>25</v>
      </c>
      <c r="E26" s="4">
        <v>10.0</v>
      </c>
      <c r="F26" s="4">
        <v>10.0</v>
      </c>
      <c r="G26" s="4">
        <f>E26*F26</f>
        <v>100</v>
      </c>
    </row>
    <row r="27" spans="1:7" customHeight="1" x14ac:dyDescent="0.15">
      <c r="A27" s="19"/>
      <c r="B27" s="5" t="s">
        <v>35</v>
      </c>
      <c r="C27" s="5" t="s">
        <v>33</v>
      </c>
      <c r="D27" s="4" t="s">
        <v>25</v>
      </c>
      <c r="E27" s="4">
        <v>30.0</v>
      </c>
      <c r="F27" s="4">
        <v>100.0</v>
      </c>
      <c r="G27" s="4">
        <f>E27*F27</f>
        <v>3000</v>
      </c>
    </row>
    <row r="28" spans="1:7" customHeight="1" x14ac:dyDescent="0.15">
      <c r="A28" s="6"/>
      <c r="B28" s="7"/>
      <c r="C28" s="7"/>
      <c r="D28" s="8"/>
      <c r="E28" s="8"/>
      <c r="F28" s="8"/>
      <c r="G28" s="12">
        <f>G25+G26+G27</f>
        <v>4100</v>
      </c>
    </row>
    <row r="29" spans="1:7" customHeight="1" x14ac:dyDescent="0.15">
      <c r="A29" s="19" t="s">
        <v>36</v>
      </c>
      <c r="B29" s="5" t="s">
        <v>37</v>
      </c>
      <c r="C29" s="5" t="s">
        <v>38</v>
      </c>
      <c r="D29" s="4" t="s">
        <v>25</v>
      </c>
      <c r="E29" s="4">
        <v>1.0</v>
      </c>
      <c r="F29" s="4">
        <v>2000.0</v>
      </c>
      <c r="G29" s="4">
        <f>F29*E29</f>
        <v>2000</v>
      </c>
    </row>
    <row r="30" spans="1:7" customHeight="1" x14ac:dyDescent="0.15">
      <c r="A30" s="19"/>
      <c r="B30" s="5" t="s">
        <v>39</v>
      </c>
      <c r="C30" s="5" t="s">
        <v>40</v>
      </c>
      <c r="D30" s="4" t="s">
        <v>25</v>
      </c>
      <c r="E30" s="4">
        <v>1.0</v>
      </c>
      <c r="F30" s="4">
        <v>3000.0</v>
      </c>
      <c r="G30" s="4">
        <f>F30*E30</f>
        <v>3000</v>
      </c>
    </row>
    <row r="31" spans="1:7" customHeight="1" x14ac:dyDescent="0.15">
      <c r="A31" s="19"/>
      <c r="B31" s="5" t="s">
        <v>41</v>
      </c>
      <c r="C31" s="5" t="s">
        <v>42</v>
      </c>
      <c r="D31" s="4" t="s">
        <v>25</v>
      </c>
      <c r="E31" s="4">
        <v>1.0</v>
      </c>
      <c r="F31" s="4">
        <v>5000.0</v>
      </c>
      <c r="G31" s="4">
        <f>F31*E31</f>
        <v>5000</v>
      </c>
    </row>
    <row r="32" spans="1:7" customHeight="1" x14ac:dyDescent="0.15">
      <c r="A32" s="6"/>
      <c r="B32" s="7"/>
      <c r="C32" s="7"/>
      <c r="D32" s="8"/>
      <c r="E32" s="8"/>
      <c r="F32" s="8"/>
      <c r="G32" s="11">
        <f>G29+G30+G31</f>
        <v>10000</v>
      </c>
    </row>
    <row r="33" spans="1:7" customHeight="1" x14ac:dyDescent="0.15">
      <c r="A33" s="10" t="s">
        <v>43</v>
      </c>
      <c r="B33" s="5" t="s">
        <v>44</v>
      </c>
      <c r="C33" s="5" t="s">
        <v>45</v>
      </c>
      <c r="D33" s="4" t="s">
        <v>25</v>
      </c>
      <c r="E33" s="4">
        <v>12.0</v>
      </c>
      <c r="F33" s="4">
        <v>300.0</v>
      </c>
      <c r="G33" s="4">
        <f>F33*E33</f>
        <v>3600</v>
      </c>
    </row>
    <row r="34" spans="1:7" customHeight="1" x14ac:dyDescent="0.15">
      <c r="A34" s="6"/>
      <c r="B34" s="7"/>
      <c r="C34" s="7"/>
      <c r="D34" s="7"/>
      <c r="E34" s="8"/>
      <c r="F34" s="8"/>
      <c r="G34" s="11">
        <f>G33</f>
        <v>3600</v>
      </c>
    </row>
    <row r="35" spans="1:1" customHeight="1" x14ac:dyDescent="0.15">
      <c r="A35" s="3"/>
    </row>
    <row r="36" spans="1:1" customHeight="1" x14ac:dyDescent="0.15">
      <c r="A36" s="3"/>
    </row>
    <row r="37" spans="1:7" customHeight="1" x14ac:dyDescent="0.15">
      <c r="A37" s="20" t="s">
        <v>46</v>
      </c>
      <c r="B37" s="20"/>
      <c r="C37" s="20"/>
      <c r="D37" s="20"/>
      <c r="E37" s="20"/>
      <c r="F37" s="20"/>
      <c r="G37" s="13">
        <f>G34+G32+G24+G21+G15+G28</f>
        <v>30450</v>
      </c>
    </row>
    <row r="38" spans="1:1" customHeight="1" x14ac:dyDescent="0.15">
      <c r="A38" s="3"/>
    </row>
    <row r="39" spans="1:1" customHeight="1" x14ac:dyDescent="0.15">
      <c r="A39" s="3"/>
    </row>
    <row r="40" spans="1:1" customHeight="1" x14ac:dyDescent="0.15">
      <c r="A40" s="3"/>
    </row>
    <row r="41" spans="1:1" customHeight="1" x14ac:dyDescent="0.15">
      <c r="A41" s="3"/>
    </row>
    <row r="42" spans="1:1" customHeight="1" x14ac:dyDescent="0.15">
      <c r="A42" s="3"/>
    </row>
    <row r="43" spans="1:1" customHeight="1" x14ac:dyDescent="0.15">
      <c r="A43" s="3"/>
    </row>
    <row r="44" spans="1:1" customHeight="1" x14ac:dyDescent="0.15">
      <c r="A44" s="3"/>
    </row>
    <row r="45" spans="1:1" customHeight="1" x14ac:dyDescent="0.15">
      <c r="A45" s="3"/>
    </row>
    <row r="46" spans="1:1" customHeight="1" x14ac:dyDescent="0.15">
      <c r="A46" s="3"/>
    </row>
  </sheetData>
  <mergeCells count="8">
    <mergeCell ref="A25:A27"/>
    <mergeCell ref="A29:A31"/>
    <mergeCell ref="A37:F37"/>
    <mergeCell ref="A1:G2"/>
    <mergeCell ref="A6:G6"/>
    <mergeCell ref="A9:A14"/>
    <mergeCell ref="A16:A20"/>
    <mergeCell ref="A22:A23"/>
  </mergeCells>
  <phoneticPr fontId="0" type="noConversion"/>
  <pageMargins left="0.6999125161508876" right="0.6999125161508876" top="0.7499062639521802" bottom="0.7499062639521802" header="0.2999625102741512" footer="0.2999625102741512"/>
  <pageSetup paperSize="1"/>
</worksheet>
</file>

<file path=docProps/app.xml><?xml version="1.0" encoding="utf-8"?>
<Properties xmlns="http://schemas.openxmlformats.org/officeDocument/2006/extended-properties">
  <Template>Normal.eit</Template>
  <TotalTime>3</TotalTime>
  <Application>Honor_Office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HONOR Docs</cp:lastModifiedBy>
  <cp:revision>0</cp:revision>
  <dcterms:created xsi:type="dcterms:W3CDTF">٢٠٠٦-٠٩-١٦T٠٠:٠٠:٠٠Z</dcterms:created>
  <dcterms:modified xsi:type="dcterms:W3CDTF">٢٠٢٥-١٠-٠٥T٠٠:٤٧:١٠Z</dcterms:modified>
</cp:coreProperties>
</file>